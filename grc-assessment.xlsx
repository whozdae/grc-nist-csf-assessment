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SF Gap Assessment" sheetId="2" state="visible" r:id="rId4"/>
    <sheet name="Risk Register" sheetId="3" state="visible" r:id="rId5"/>
    <sheet name="Remediation Roadmap" sheetId="4" state="visible" r:id="rId6"/>
  </sheets>
  <definedNames>
    <definedName function="false" hidden="true" localSheetId="1" name="_xlnm._FilterDatabase" vbProcedure="false">'CSF Gap Assessment'!$A$1:$I$23</definedName>
    <definedName function="false" hidden="true" localSheetId="2" name="_xlnm._FilterDatabase" vbProcedure="false">'Risk Register'!$A$1:$N$15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<sst xmlns="http://schemas.openxmlformats.org/spreadsheetml/2006/main" count="358" uniqueCount="225">
  <si>
    <t xml:space="preserve">Meridian Health Analytics — Cybersecurity Gap Assessment &amp; Risk Register</t>
  </si>
  <si>
    <t xml:space="preserve">Framework: NIST Cybersecurity Framework (CSF) 2.0  ·  cross-mapped to the HIPAA Security Rule and NIST SP 800-53</t>
  </si>
  <si>
    <t xml:space="preserve">FICTIONAL organization — prepared as a portfolio GRC work sample. All data is illustrative.</t>
  </si>
  <si>
    <t xml:space="preserve">Maturity by CSF Function (0 = none, 4 = optimized)</t>
  </si>
  <si>
    <t xml:space="preserve">Function</t>
  </si>
  <si>
    <t xml:space="preserve">Avg Current</t>
  </si>
  <si>
    <t xml:space="preserve">Avg Target</t>
  </si>
  <si>
    <t xml:space="preserve">Avg Gap</t>
  </si>
  <si>
    <t xml:space="preserve">Posture</t>
  </si>
  <si>
    <t xml:space="preserve">GOVERN</t>
  </si>
  <si>
    <t xml:space="preserve">IDENTIFY</t>
  </si>
  <si>
    <t xml:space="preserve">PROTECT</t>
  </si>
  <si>
    <t xml:space="preserve">DETECT</t>
  </si>
  <si>
    <t xml:space="preserve">RESPOND</t>
  </si>
  <si>
    <t xml:space="preserve">RECOVER</t>
  </si>
  <si>
    <t xml:space="preserve">OVERALL</t>
  </si>
  <si>
    <t xml:space="preserve">Risk Register Summary</t>
  </si>
  <si>
    <t xml:space="preserve">Inherent Rating</t>
  </si>
  <si>
    <t xml:space="preserve">Count</t>
  </si>
  <si>
    <t xml:space="preserve">Residual (after remediation)</t>
  </si>
  <si>
    <t xml:space="preserve">Critical</t>
  </si>
  <si>
    <t xml:space="preserve">High</t>
  </si>
  <si>
    <t xml:space="preserve">Medium</t>
  </si>
  <si>
    <t xml:space="preserve">Low</t>
  </si>
  <si>
    <t xml:space="preserve">Total risks</t>
  </si>
  <si>
    <t xml:space="preserve">Executive takeaways</t>
  </si>
  <si>
    <t xml:space="preserve">•  Overall maturity sits at ~Initial. Governance and Incident Response are the weakest functions and the fastest to improve.</t>
  </si>
  <si>
    <t xml:space="preserve">•  Three issues drive most risk: standing privileged access (no PIM), unmonitored alerts (no SIEM), and no tested IR / DR.</t>
  </si>
  <si>
    <t xml:space="preserve">•  HIPAA-specific exposure: no periodic risk assessment, lapsed workforce training, untracked BAAs, and no breach-notification runbook (60-day clock).</t>
  </si>
  <si>
    <t xml:space="preserve">•  A 180-day, three-phase roadmap moves the program from Initial toward Defined; Phase 1 is low-cost and closes the highest-severity gaps first.</t>
  </si>
  <si>
    <t xml:space="preserve">ID</t>
  </si>
  <si>
    <t xml:space="preserve">Category</t>
  </si>
  <si>
    <t xml:space="preserve">Current (0-4)</t>
  </si>
  <si>
    <t xml:space="preserve">Target (0-4)</t>
  </si>
  <si>
    <t xml:space="preserve">Gap</t>
  </si>
  <si>
    <t xml:space="preserve">Observation</t>
  </si>
  <si>
    <t xml:space="preserve">HIPAA / 800-53 mapping</t>
  </si>
  <si>
    <t xml:space="preserve">Priority</t>
  </si>
  <si>
    <t xml:space="preserve">GV.OC</t>
  </si>
  <si>
    <t xml:space="preserve">Organizational Context</t>
  </si>
  <si>
    <t xml:space="preserve">Mission-to-risk linkage undocumented; PHI obligations (HIPAA) not mapped to business objectives.</t>
  </si>
  <si>
    <t xml:space="preserve">HIPAA §164.316; 800-53 PM-1</t>
  </si>
  <si>
    <t xml:space="preserve">GV.RM</t>
  </si>
  <si>
    <t xml:space="preserve">Risk Management Strategy</t>
  </si>
  <si>
    <t xml:space="preserve">No defined risk appetite or tolerance; risk decisions made ad hoc without a register.</t>
  </si>
  <si>
    <t xml:space="preserve">800-53 PM-9; RA-1</t>
  </si>
  <si>
    <t xml:space="preserve">GV.RR</t>
  </si>
  <si>
    <t xml:space="preserve">Roles, Responsibilities &amp; Authorities</t>
  </si>
  <si>
    <t xml:space="preserve">Single part-time security lead; no RACI; security accountability not assigned in writing.</t>
  </si>
  <si>
    <t xml:space="preserve">HIPAA §164.308(a)(2); 800-53 PM-2</t>
  </si>
  <si>
    <t xml:space="preserve">GV.PO</t>
  </si>
  <si>
    <t xml:space="preserve">Policy</t>
  </si>
  <si>
    <t xml:space="preserve">Security policies are ad hoc, uncirculated, and not reviewed on a cadence.</t>
  </si>
  <si>
    <t xml:space="preserve">HIPAA §164.316(a); 800-53 -1 controls</t>
  </si>
  <si>
    <t xml:space="preserve">GV.OV</t>
  </si>
  <si>
    <t xml:space="preserve">Oversight</t>
  </si>
  <si>
    <t xml:space="preserve">No leadership/board oversight of the cybersecurity program or its outcomes.</t>
  </si>
  <si>
    <t xml:space="preserve">800-53 PM-1; CA-1</t>
  </si>
  <si>
    <t xml:space="preserve">GV.SC</t>
  </si>
  <si>
    <t xml:space="preserve">Cybersecurity Supply Chain Risk Mgmt</t>
  </si>
  <si>
    <t xml:space="preserve">Cloud, MSP, and subprocessors not formally assessed; BAAs not centrally tracked.</t>
  </si>
  <si>
    <t xml:space="preserve">HIPAA §164.308(b); 800-53 SR-3</t>
  </si>
  <si>
    <t xml:space="preserve">ID.AM</t>
  </si>
  <si>
    <t xml:space="preserve">Asset Management</t>
  </si>
  <si>
    <t xml:space="preserve">Partial asset inventory; ePHI data stores not classified or formally mapped.</t>
  </si>
  <si>
    <t xml:space="preserve">HIPAA §164.310(d); 800-53 CM-8</t>
  </si>
  <si>
    <t xml:space="preserve">ID.RA</t>
  </si>
  <si>
    <t xml:space="preserve">Risk Assessment</t>
  </si>
  <si>
    <t xml:space="preserve">No periodic security risk assessment — a HIPAA Security Rule requirement.</t>
  </si>
  <si>
    <t xml:space="preserve">HIPAA §164.308(a)(1)(ii)(A); 800-53 RA-3</t>
  </si>
  <si>
    <t xml:space="preserve">ID.IM</t>
  </si>
  <si>
    <t xml:space="preserve">Improvement</t>
  </si>
  <si>
    <t xml:space="preserve">No lessons-learned loop; findings from incidents/audits are not tracked to closure.</t>
  </si>
  <si>
    <t xml:space="preserve">800-53 CA-5; PM-4</t>
  </si>
  <si>
    <t xml:space="preserve">PR.AA</t>
  </si>
  <si>
    <t xml:space="preserve">Identity Mgmt, Authn &amp; Access Control</t>
  </si>
  <si>
    <t xml:space="preserve">Entra ID + MFA for most users, but standing privileged access, shared admin accounts, no PIM, and no access reviews.</t>
  </si>
  <si>
    <t xml:space="preserve">HIPAA §164.312(a); 800-53 AC-2/AC-6/IA-2</t>
  </si>
  <si>
    <t xml:space="preserve">PR.AT</t>
  </si>
  <si>
    <t xml:space="preserve">Awareness &amp; Training</t>
  </si>
  <si>
    <t xml:space="preserve">No recurring security-awareness or phishing training; HIPAA workforce training lapsed.</t>
  </si>
  <si>
    <t xml:space="preserve">HIPAA §164.308(a)(5); 800-53 AT-2</t>
  </si>
  <si>
    <t xml:space="preserve">PR.DS</t>
  </si>
  <si>
    <t xml:space="preserve">Data Security</t>
  </si>
  <si>
    <t xml:space="preserve">Encryption at rest/in transit is on, but PHI is unclassified, there is no DLP, and backups are untested.</t>
  </si>
  <si>
    <t xml:space="preserve">HIPAA §164.312(e); 800-53 SC-28/SC-8</t>
  </si>
  <si>
    <t xml:space="preserve">PR.PS</t>
  </si>
  <si>
    <t xml:space="preserve">Platform Security</t>
  </si>
  <si>
    <t xml:space="preserve">Patching handled by MSP inconsistently; no hardening baselines (e.g., CIS) enforced.</t>
  </si>
  <si>
    <t xml:space="preserve">800-53 CM-6/SI-2</t>
  </si>
  <si>
    <t xml:space="preserve">PR.IR</t>
  </si>
  <si>
    <t xml:space="preserve">Technology Infrastructure Resilience</t>
  </si>
  <si>
    <t xml:space="preserve">Cloud redundancy exists but failover has never been tested.</t>
  </si>
  <si>
    <t xml:space="preserve">800-53 CP-2/SC-6</t>
  </si>
  <si>
    <t xml:space="preserve">DE.CM</t>
  </si>
  <si>
    <t xml:space="preserve">Continuous Monitoring</t>
  </si>
  <si>
    <t xml:space="preserve">Defender/M365 alerts are generated but not monitored; no SIEM or central log aggregation.</t>
  </si>
  <si>
    <t xml:space="preserve">HIPAA §164.308(a)(1)(ii)(D); 800-53 SI-4/AU-6</t>
  </si>
  <si>
    <t xml:space="preserve">DE.AE</t>
  </si>
  <si>
    <t xml:space="preserve">Adverse Event Analysis</t>
  </si>
  <si>
    <t xml:space="preserve">No defined process to analyze or correlate events; alerts triaged reactively, if at all.</t>
  </si>
  <si>
    <t xml:space="preserve">800-53 AU-6/IR-4</t>
  </si>
  <si>
    <t xml:space="preserve">RS.MA</t>
  </si>
  <si>
    <t xml:space="preserve">Incident Management</t>
  </si>
  <si>
    <t xml:space="preserve">No formal incident response plan or defined severities/escalation.</t>
  </si>
  <si>
    <t xml:space="preserve">HIPAA §164.308(a)(6); 800-53 IR-1/IR-8</t>
  </si>
  <si>
    <t xml:space="preserve">RS.AN</t>
  </si>
  <si>
    <t xml:space="preserve">Incident Analysis</t>
  </si>
  <si>
    <t xml:space="preserve">No forensic capability; log retention insufficient to scope an incident.</t>
  </si>
  <si>
    <t xml:space="preserve">800-53 IR-4/AU-11</t>
  </si>
  <si>
    <t xml:space="preserve">RS.CO</t>
  </si>
  <si>
    <t xml:space="preserve">Incident Response Reporting &amp; Comms</t>
  </si>
  <si>
    <t xml:space="preserve">No breach-notification runbook — exposes the HIPAA 60-day notification deadline.</t>
  </si>
  <si>
    <t xml:space="preserve">HIPAA §164.400-414; 800-53 IR-6</t>
  </si>
  <si>
    <t xml:space="preserve">RS.MI</t>
  </si>
  <si>
    <t xml:space="preserve">Incident Mitigation</t>
  </si>
  <si>
    <t xml:space="preserve">Containment is possible (device isolation) but undocumented and unpracticed.</t>
  </si>
  <si>
    <t xml:space="preserve">800-53 IR-4</t>
  </si>
  <si>
    <t xml:space="preserve">RC.RP</t>
  </si>
  <si>
    <t xml:space="preserve">Incident Recovery Plan Execution</t>
  </si>
  <si>
    <t xml:space="preserve">No tested disaster-recovery or business-continuity plan; ransomware recovery unproven.</t>
  </si>
  <si>
    <t xml:space="preserve">HIPAA §164.308(a)(7); 800-53 CP-10</t>
  </si>
  <si>
    <t xml:space="preserve">RC.CO</t>
  </si>
  <si>
    <t xml:space="preserve">Incident Recovery Communication</t>
  </si>
  <si>
    <t xml:space="preserve">No internal/external recovery communication plan.</t>
  </si>
  <si>
    <t xml:space="preserve">800-53 CP-2/IR-6</t>
  </si>
  <si>
    <t xml:space="preserve">Risk ID</t>
  </si>
  <si>
    <t xml:space="preserve">Risk / Threat Scenario</t>
  </si>
  <si>
    <t xml:space="preserve">CSF</t>
  </si>
  <si>
    <t xml:space="preserve">L (1-5)</t>
  </si>
  <si>
    <t xml:space="preserve">I (1-5)</t>
  </si>
  <si>
    <t xml:space="preserve">Inherent Score</t>
  </si>
  <si>
    <t xml:space="preserve">Treatment</t>
  </si>
  <si>
    <t xml:space="preserve">Control / Remediation (and portfolio evidence)</t>
  </si>
  <si>
    <t xml:space="preserve">Owner</t>
  </si>
  <si>
    <t xml:space="preserve">Res. L</t>
  </si>
  <si>
    <t xml:space="preserve">Res. I</t>
  </si>
  <si>
    <t xml:space="preserve">Residual Score</t>
  </si>
  <si>
    <t xml:space="preserve">Residual Rating</t>
  </si>
  <si>
    <t xml:space="preserve">R-01</t>
  </si>
  <si>
    <t xml:space="preserve">Standing privileged access and shared admin accounts enable privilege abuse or insider misuse</t>
  </si>
  <si>
    <t xml:space="preserve">Mitigate</t>
  </si>
  <si>
    <t xml:space="preserve">Implement PIM (eligible, time-boxed, MFA+approval) and remove standing Owner. Evidence: AZURE-IAM repo (RBAC+PIM).</t>
  </si>
  <si>
    <t xml:space="preserve">Security Lead</t>
  </si>
  <si>
    <t xml:space="preserve">R-02</t>
  </si>
  <si>
    <t xml:space="preserve">No access reviews leave orphaned / excessive access, incl. departed staff and vendors</t>
  </si>
  <si>
    <t xml:space="preserve">Quarterly access reviews + JML offboarding automation. Evidence: access-review &amp; JML lifecycle repos.</t>
  </si>
  <si>
    <t xml:space="preserve">IT / HR</t>
  </si>
  <si>
    <t xml:space="preserve">R-03</t>
  </si>
  <si>
    <t xml:space="preserve">Incomplete MFA coverage and legacy auth allow account takeover of ePHI accounts</t>
  </si>
  <si>
    <t xml:space="preserve">Enforce MFA for all, block legacy auth via Conditional Access.</t>
  </si>
  <si>
    <t xml:space="preserve">R-04</t>
  </si>
  <si>
    <t xml:space="preserve">No incident response plan; HIPAA 60-day breach-notification deadline missed</t>
  </si>
  <si>
    <t xml:space="preserve">RS.MA/CO</t>
  </si>
  <si>
    <t xml:space="preserve">Build IR plan + breach-notification runbook with defined severities and timelines.</t>
  </si>
  <si>
    <t xml:space="preserve">R-05</t>
  </si>
  <si>
    <t xml:space="preserve">Security alerts unmonitored (no SIEM) → long attacker dwell time and missed breaches</t>
  </si>
  <si>
    <t xml:space="preserve">Aggregate logs to a SIEM; triage alerts. Evidence: Home-SOC and AI SOC alert-triage repos.</t>
  </si>
  <si>
    <t xml:space="preserve">R-06</t>
  </si>
  <si>
    <t xml:space="preserve">Vendors / subprocessors unassessed and BAAs untracked → third-party PHI exposure</t>
  </si>
  <si>
    <t xml:space="preserve">Vendor risk program; centralize and track BAAs; tier subprocessors.</t>
  </si>
  <si>
    <t xml:space="preserve">R-07</t>
  </si>
  <si>
    <t xml:space="preserve">PHI unclassified with no DLP → exfiltration or accidental oversharing</t>
  </si>
  <si>
    <t xml:space="preserve">Classify ePHI; deploy DLP policies in M365/Purview.</t>
  </si>
  <si>
    <t xml:space="preserve">IT</t>
  </si>
  <si>
    <t xml:space="preserve">R-08</t>
  </si>
  <si>
    <t xml:space="preserve">OAuth illicit consent grant gives a malicious app standing access to mailboxes/data</t>
  </si>
  <si>
    <t xml:space="preserve">Restrict user consent; admin-consent workflow; detect grants. Evidence: entra-oauth-consent-defense repo.</t>
  </si>
  <si>
    <t xml:space="preserve">R-09</t>
  </si>
  <si>
    <t xml:space="preserve">Untested backups and no DR plan → ransomware causes prolonged outage and data loss</t>
  </si>
  <si>
    <t xml:space="preserve">Immutable backups; documented, tested DR/BCP with RTO/RPO.</t>
  </si>
  <si>
    <t xml:space="preserve">IT / MSP</t>
  </si>
  <si>
    <t xml:space="preserve">R-10</t>
  </si>
  <si>
    <t xml:space="preserve">No security-awareness or phishing training → successful social engineering</t>
  </si>
  <si>
    <t xml:space="preserve">Recurring awareness training + simulated phishing; HIPAA workforce training.</t>
  </si>
  <si>
    <t xml:space="preserve">R-11</t>
  </si>
  <si>
    <t xml:space="preserve">Inconsistent patching and no hardening baseline → exploitation of known CVEs</t>
  </si>
  <si>
    <t xml:space="preserve">Patch SLAs; CIS hardening baselines; scanning. Evidence: Vuln-Mgmt &amp; pyvulnscan repos.</t>
  </si>
  <si>
    <t xml:space="preserve">R-12</t>
  </si>
  <si>
    <t xml:space="preserve">No periodic risk assessment (HIPAA §164.308 requires one) → unknown, unmanaged exposure</t>
  </si>
  <si>
    <t xml:space="preserve">Stand up an annual risk-assessment program feeding this register.</t>
  </si>
  <si>
    <t xml:space="preserve">R-13</t>
  </si>
  <si>
    <t xml:space="preserve">Cloud misconfiguration (public storage, open management ports) exposes ePHI</t>
  </si>
  <si>
    <t xml:space="preserve">Continuous cloud posture mgmt vs CIS; remediate drift. Evidence: azure-cloud-security repo.</t>
  </si>
  <si>
    <t xml:space="preserve">R-14</t>
  </si>
  <si>
    <t xml:space="preserve">Insufficient log retention / forensics → cannot investigate or scope a breach</t>
  </si>
  <si>
    <t xml:space="preserve">Accept→Mitigate</t>
  </si>
  <si>
    <t xml:space="preserve">Define retention; centralize audit logs for forensics.</t>
  </si>
  <si>
    <t xml:space="preserve">Phase</t>
  </si>
  <si>
    <t xml:space="preserve">Action</t>
  </si>
  <si>
    <t xml:space="preserve">Addresses (Risk / CSF)</t>
  </si>
  <si>
    <t xml:space="preserve">Effort</t>
  </si>
  <si>
    <t xml:space="preserve">Cost</t>
  </si>
  <si>
    <t xml:space="preserve">Phase 1 — 0-30 days</t>
  </si>
  <si>
    <t xml:space="preserve">Build IR plan + HIPAA breach-notification runbook</t>
  </si>
  <si>
    <t xml:space="preserve">R-04 / RS.MA,RS.CO</t>
  </si>
  <si>
    <t xml:space="preserve">$</t>
  </si>
  <si>
    <t xml:space="preserve">Enforce MFA for all users; block legacy auth (Conditional Access)</t>
  </si>
  <si>
    <t xml:space="preserve">R-03 / PR.AA</t>
  </si>
  <si>
    <t xml:space="preserve">Inventory and centralize all BAAs; list subprocessors</t>
  </si>
  <si>
    <t xml:space="preserve">R-06 / GV.SC</t>
  </si>
  <si>
    <t xml:space="preserve">Turn on and begin monitoring Defender/M365 alerts</t>
  </si>
  <si>
    <t xml:space="preserve">R-05 / DE.CM</t>
  </si>
  <si>
    <t xml:space="preserve">Phase 2 — 30-90 days</t>
  </si>
  <si>
    <t xml:space="preserve">Deploy PIM; quarterly access reviews; remove standing Owner</t>
  </si>
  <si>
    <t xml:space="preserve">R-01,R-02 / PR.AA</t>
  </si>
  <si>
    <t xml:space="preserve">$$</t>
  </si>
  <si>
    <t xml:space="preserve">Conduct first formal HIPAA risk assessment feeding this register</t>
  </si>
  <si>
    <t xml:space="preserve">R-12 / ID.RA</t>
  </si>
  <si>
    <t xml:space="preserve">Stand up vendor risk program and tiering</t>
  </si>
  <si>
    <t xml:space="preserve">Recurring security-awareness + simulated phishing training</t>
  </si>
  <si>
    <t xml:space="preserve">R-10 / PR.AT</t>
  </si>
  <si>
    <t xml:space="preserve">Implement immutable backups and run a DR test</t>
  </si>
  <si>
    <t xml:space="preserve">R-09 / RC.RP</t>
  </si>
  <si>
    <t xml:space="preserve">Phase 3 — 90-180 days</t>
  </si>
  <si>
    <t xml:space="preserve">Deploy SIEM / central log aggregation + triage workflow</t>
  </si>
  <si>
    <t xml:space="preserve">R-05,R-14 / DE.CM,RS.AN</t>
  </si>
  <si>
    <t xml:space="preserve">$$$</t>
  </si>
  <si>
    <t xml:space="preserve">Classify ePHI and deploy DLP (M365 Purview)</t>
  </si>
  <si>
    <t xml:space="preserve">R-07 / PR.DS</t>
  </si>
  <si>
    <t xml:space="preserve">Enforce CIS hardening baselines + patch SLAs + cloud posture mgmt</t>
  </si>
  <si>
    <t xml:space="preserve">R-11,R-13 / PR.PS</t>
  </si>
  <si>
    <t xml:space="preserve">Establish policy framework and leadership oversight cadence</t>
  </si>
  <si>
    <t xml:space="preserve">GV.PO,GV.OV</t>
  </si>
  <si>
    <t xml:space="preserve">Leadership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</si>
</sst>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808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fgColor rgb="FF2E5496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1D47F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FB9574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C07C"/>
          <bgColor rgb="FF000000"/>
        </patternFill>
      </fill>
    </dxf>
    <dxf>
      <fill>
        <patternFill patternType="solid">
          <fgColor rgb="FFFFDA81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B9D7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customFormat="false" ht="15" hidden="false" customHeight="false" outlineLevel="0" collapsed="false">
      <c r="A7" s="7" t="s">
        <v>9</v>
      </c>
      <c r="B7" s="8" t="n">
        <f aca="false">ROUND(AVERAGEIF('CSF Gap Assessment'!$A$2:$A$23,A7,'CSF Gap Assessment'!$D$2:$D$23),1)</f>
        <v>0.8</v>
      </c>
      <c r="C7" s="8" t="n">
        <f aca="false">ROUND(AVERAGEIF('CSF Gap Assessment'!$A$2:$A$23,A7,'CSF Gap Assessment'!$E$2:$E$23),1)</f>
        <v>2.8</v>
      </c>
      <c r="D7" s="9" t="n">
        <f aca="false">ROUND(C7-B7,1)</f>
        <v>2</v>
      </c>
      <c r="E7" s="8" t="str">
        <f aca="false">IF(B7&lt;1.5,"Initial",IF(B7&lt;2.5,"Developing",IF(B7&lt;3.5,"Defined","Managed")))</f>
        <v>Initial</v>
      </c>
    </row>
    <row r="8" customFormat="false" ht="15" hidden="false" customHeight="false" outlineLevel="0" collapsed="false">
      <c r="A8" s="10" t="s">
        <v>10</v>
      </c>
      <c r="B8" s="8" t="n">
        <f aca="false">ROUND(AVERAGEIF('CSF Gap Assessment'!$A$2:$A$23,A8,'CSF Gap Assessment'!$D$2:$D$23),1)</f>
        <v>1.3</v>
      </c>
      <c r="C8" s="8" t="n">
        <f aca="false">ROUND(AVERAGEIF('CSF Gap Assessment'!$A$2:$A$23,A8,'CSF Gap Assessment'!$E$2:$E$23),1)</f>
        <v>3.3</v>
      </c>
      <c r="D8" s="9" t="n">
        <f aca="false">ROUND(C8-B8,1)</f>
        <v>2</v>
      </c>
      <c r="E8" s="8" t="str">
        <f aca="false">IF(B8&lt;1.5,"Initial",IF(B8&lt;2.5,"Developing",IF(B8&lt;3.5,"Defined","Managed")))</f>
        <v>Initial</v>
      </c>
    </row>
    <row r="9" customFormat="false" ht="15" hidden="false" customHeight="false" outlineLevel="0" collapsed="false">
      <c r="A9" s="11" t="s">
        <v>11</v>
      </c>
      <c r="B9" s="8" t="n">
        <f aca="false">ROUND(AVERAGEIF('CSF Gap Assessment'!$A$2:$A$23,A9,'CSF Gap Assessment'!$D$2:$D$23),1)</f>
        <v>1.8</v>
      </c>
      <c r="C9" s="8" t="n">
        <f aca="false">ROUND(AVERAGEIF('CSF Gap Assessment'!$A$2:$A$23,A9,'CSF Gap Assessment'!$E$2:$E$23),1)</f>
        <v>3.4</v>
      </c>
      <c r="D9" s="9" t="n">
        <f aca="false">ROUND(C9-B9,1)</f>
        <v>1.6</v>
      </c>
      <c r="E9" s="8" t="str">
        <f aca="false">IF(B9&lt;1.5,"Initial",IF(B9&lt;2.5,"Developing",IF(B9&lt;3.5,"Defined","Managed")))</f>
        <v>Developing</v>
      </c>
    </row>
    <row r="10" customFormat="false" ht="15" hidden="false" customHeight="false" outlineLevel="0" collapsed="false">
      <c r="A10" s="12" t="s">
        <v>12</v>
      </c>
      <c r="B10" s="8" t="n">
        <f aca="false">ROUND(AVERAGEIF('CSF Gap Assessment'!$A$2:$A$23,A10,'CSF Gap Assessment'!$D$2:$D$23),1)</f>
        <v>1</v>
      </c>
      <c r="C10" s="8" t="n">
        <f aca="false">ROUND(AVERAGEIF('CSF Gap Assessment'!$A$2:$A$23,A10,'CSF Gap Assessment'!$E$2:$E$23),1)</f>
        <v>3</v>
      </c>
      <c r="D10" s="9" t="n">
        <f aca="false">ROUND(C10-B10,1)</f>
        <v>2</v>
      </c>
      <c r="E10" s="8" t="str">
        <f aca="false">IF(B10&lt;1.5,"Initial",IF(B10&lt;2.5,"Developing",IF(B10&lt;3.5,"Defined","Managed")))</f>
        <v>Initial</v>
      </c>
    </row>
    <row r="11" customFormat="false" ht="15" hidden="false" customHeight="false" outlineLevel="0" collapsed="false">
      <c r="A11" s="13" t="s">
        <v>13</v>
      </c>
      <c r="B11" s="8" t="n">
        <f aca="false">ROUND(AVERAGEIF('CSF Gap Assessment'!$A$2:$A$23,A11,'CSF Gap Assessment'!$D$2:$D$23),1)</f>
        <v>1.3</v>
      </c>
      <c r="C11" s="8" t="n">
        <f aca="false">ROUND(AVERAGEIF('CSF Gap Assessment'!$A$2:$A$23,A11,'CSF Gap Assessment'!$E$2:$E$23),1)</f>
        <v>2.8</v>
      </c>
      <c r="D11" s="9" t="n">
        <f aca="false">ROUND(C11-B11,1)</f>
        <v>1.5</v>
      </c>
      <c r="E11" s="8" t="str">
        <f aca="false">IF(B11&lt;1.5,"Initial",IF(B11&lt;2.5,"Developing",IF(B11&lt;3.5,"Defined","Managed")))</f>
        <v>Initial</v>
      </c>
    </row>
    <row r="12" customFormat="false" ht="15" hidden="false" customHeight="false" outlineLevel="0" collapsed="false">
      <c r="A12" s="14" t="s">
        <v>14</v>
      </c>
      <c r="B12" s="8" t="n">
        <f aca="false">ROUND(AVERAGEIF('CSF Gap Assessment'!$A$2:$A$23,A12,'CSF Gap Assessment'!$D$2:$D$23),1)</f>
        <v>1</v>
      </c>
      <c r="C12" s="8" t="n">
        <f aca="false">ROUND(AVERAGEIF('CSF Gap Assessment'!$A$2:$A$23,A12,'CSF Gap Assessment'!$E$2:$E$23),1)</f>
        <v>2.5</v>
      </c>
      <c r="D12" s="9" t="n">
        <f aca="false">ROUND(C12-B12,1)</f>
        <v>1.5</v>
      </c>
      <c r="E12" s="8" t="str">
        <f aca="false">IF(B12&lt;1.5,"Initial",IF(B12&lt;2.5,"Developing",IF(B12&lt;3.5,"Defined","Managed")))</f>
        <v>Initial</v>
      </c>
    </row>
    <row r="13" customFormat="false" ht="15" hidden="false" customHeight="false" outlineLevel="0" collapsed="false">
      <c r="A13" s="15" t="s">
        <v>15</v>
      </c>
      <c r="B13" s="9" t="n">
        <f aca="false">ROUND(AVERAGE('CSF Gap Assessment'!D2:D23),1)</f>
        <v>1.2</v>
      </c>
      <c r="C13" s="9" t="n">
        <f aca="false">ROUND(AVERAGE('CSF Gap Assessment'!E2:E23),1)</f>
        <v>3</v>
      </c>
      <c r="D13" s="9" t="n">
        <f aca="false">ROUND(C13-B13,1)</f>
        <v>1.8</v>
      </c>
      <c r="E13" s="9" t="str">
        <f aca="false">IF(B13&lt;1.5,"Initial",IF(B13&lt;2.5,"Developing",IF(B13&lt;3.5,"Defined","Managed")))</f>
        <v>Initial</v>
      </c>
    </row>
    <row r="15" customFormat="false" ht="15" hidden="false" customHeight="false" outlineLevel="0" collapsed="false">
      <c r="A15" s="5" t="s">
        <v>16</v>
      </c>
    </row>
    <row r="16" customFormat="false" ht="23.85" hidden="false" customHeight="false" outlineLevel="0" collapsed="false">
      <c r="A16" s="6" t="s">
        <v>17</v>
      </c>
      <c r="B16" s="6" t="s">
        <v>18</v>
      </c>
      <c r="C16" s="6" t="s">
        <v>19</v>
      </c>
      <c r="D16" s="6" t="s">
        <v>18</v>
      </c>
    </row>
    <row r="17" customFormat="false" ht="15" hidden="false" customHeight="false" outlineLevel="0" collapsed="false">
      <c r="A17" s="16" t="s">
        <v>20</v>
      </c>
      <c r="B17" s="8" t="n">
        <f aca="false">COUNTIF('Risk Register'!G2:G15,"Critical")</f>
        <v>4</v>
      </c>
      <c r="C17" s="16" t="s">
        <v>20</v>
      </c>
      <c r="D17" s="8" t="n">
        <f aca="false">COUNTIF('Risk Register'!N2:N15,"Critical")</f>
        <v>0</v>
      </c>
    </row>
    <row r="18" customFormat="false" ht="15" hidden="false" customHeight="false" outlineLevel="0" collapsed="false">
      <c r="A18" s="17" t="s">
        <v>21</v>
      </c>
      <c r="B18" s="8" t="n">
        <f aca="false">COUNTIF('Risk Register'!G2:G15,"High")</f>
        <v>8</v>
      </c>
      <c r="C18" s="17" t="s">
        <v>21</v>
      </c>
      <c r="D18" s="8" t="n">
        <f aca="false">COUNTIF('Risk Register'!N2:N15,"High")</f>
        <v>0</v>
      </c>
    </row>
    <row r="19" customFormat="false" ht="15" hidden="false" customHeight="false" outlineLevel="0" collapsed="false">
      <c r="A19" s="18" t="s">
        <v>22</v>
      </c>
      <c r="B19" s="8" t="n">
        <f aca="false">COUNTIF('Risk Register'!G2:G15,"Medium")</f>
        <v>2</v>
      </c>
      <c r="C19" s="18" t="s">
        <v>22</v>
      </c>
      <c r="D19" s="8" t="n">
        <f aca="false">COUNTIF('Risk Register'!N2:N15,"Medium")</f>
        <v>11</v>
      </c>
    </row>
    <row r="20" customFormat="false" ht="15" hidden="false" customHeight="false" outlineLevel="0" collapsed="false">
      <c r="A20" s="19" t="s">
        <v>23</v>
      </c>
      <c r="B20" s="8" t="n">
        <f aca="false">COUNTIF('Risk Register'!G2:G15,"Low")</f>
        <v>0</v>
      </c>
      <c r="C20" s="19" t="s">
        <v>23</v>
      </c>
      <c r="D20" s="8" t="n">
        <f aca="false">COUNTIF('Risk Register'!N2:N15,"Low")</f>
        <v>3</v>
      </c>
    </row>
    <row r="21" customFormat="false" ht="15" hidden="false" customHeight="false" outlineLevel="0" collapsed="false">
      <c r="A21" s="15" t="s">
        <v>24</v>
      </c>
      <c r="B21" s="9" t="n">
        <f aca="false">SUM(B17:B20)</f>
        <v>14</v>
      </c>
      <c r="D21" s="9" t="n">
        <f aca="false">SUM(D17:D20)</f>
        <v>14</v>
      </c>
    </row>
    <row r="23" customFormat="false" ht="15" hidden="false" customHeight="false" outlineLevel="0" collapsed="false">
      <c r="A23" s="5" t="s">
        <v>25</v>
      </c>
    </row>
    <row r="24" customFormat="false" ht="15" hidden="false" customHeight="true" outlineLevel="0" collapsed="false">
      <c r="A24" s="20" t="s">
        <v>26</v>
      </c>
      <c r="B24" s="20"/>
      <c r="C24" s="20"/>
      <c r="D24" s="20"/>
      <c r="E24" s="20"/>
    </row>
    <row r="25" customFormat="false" ht="15" hidden="false" customHeight="true" outlineLevel="0" collapsed="false">
      <c r="A25" s="20" t="s">
        <v>27</v>
      </c>
      <c r="B25" s="20"/>
      <c r="C25" s="20"/>
      <c r="D25" s="20"/>
      <c r="E25" s="20"/>
    </row>
    <row r="26" customFormat="false" ht="22.35" hidden="false" customHeight="true" outlineLevel="0" collapsed="false">
      <c r="A26" s="20" t="s">
        <v>28</v>
      </c>
      <c r="B26" s="20"/>
      <c r="C26" s="20"/>
      <c r="D26" s="20"/>
      <c r="E26" s="20"/>
    </row>
    <row r="27" customFormat="false" ht="22.35" hidden="false" customHeight="true" outlineLevel="0" collapsed="false">
      <c r="A27" s="20" t="s">
        <v>29</v>
      </c>
      <c r="B27" s="20"/>
      <c r="C27" s="20"/>
      <c r="D27" s="20"/>
      <c r="E27" s="20"/>
    </row>
  </sheetData>
  <mergeCells count="4">
    <mergeCell ref="A24:E24"/>
    <mergeCell ref="A25:E25"/>
    <mergeCell ref="A26:E26"/>
    <mergeCell ref="A27:E27"/>
  </mergeCells>
  <conditionalFormatting sqref="D7:D13">
    <cfRule type="colorScale" priority="2">
      <colorScale>
        <cfvo type="num" val="0"/>
        <cfvo type="num" val="1.5"/>
        <cfvo type="num" val="3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52"/>
    <col collapsed="false" customWidth="true" hidden="false" outlineLevel="0" max="8" min="8" style="0" width="28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6" t="s">
        <v>4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</row>
    <row r="2" customFormat="false" ht="22.35" hidden="false" customHeight="false" outlineLevel="0" collapsed="false">
      <c r="A2" s="7" t="s">
        <v>9</v>
      </c>
      <c r="B2" s="8" t="s">
        <v>38</v>
      </c>
      <c r="C2" s="21" t="s">
        <v>39</v>
      </c>
      <c r="D2" s="8" t="n">
        <v>1</v>
      </c>
      <c r="E2" s="8" t="n">
        <v>3</v>
      </c>
      <c r="F2" s="9" t="n">
        <f aca="false">E2-D2</f>
        <v>2</v>
      </c>
      <c r="G2" s="22" t="s">
        <v>40</v>
      </c>
      <c r="H2" s="22" t="s">
        <v>41</v>
      </c>
      <c r="I2" s="23" t="s">
        <v>21</v>
      </c>
    </row>
    <row r="3" customFormat="false" ht="22.35" hidden="false" customHeight="false" outlineLevel="0" collapsed="false">
      <c r="A3" s="7" t="s">
        <v>9</v>
      </c>
      <c r="B3" s="8" t="s">
        <v>42</v>
      </c>
      <c r="C3" s="21" t="s">
        <v>43</v>
      </c>
      <c r="D3" s="8" t="n">
        <v>1</v>
      </c>
      <c r="E3" s="8" t="n">
        <v>3</v>
      </c>
      <c r="F3" s="9" t="n">
        <f aca="false">E3-D3</f>
        <v>2</v>
      </c>
      <c r="G3" s="22" t="s">
        <v>44</v>
      </c>
      <c r="H3" s="22" t="s">
        <v>45</v>
      </c>
      <c r="I3" s="23" t="s">
        <v>21</v>
      </c>
    </row>
    <row r="4" customFormat="false" ht="23.85" hidden="false" customHeight="false" outlineLevel="0" collapsed="false">
      <c r="A4" s="7" t="s">
        <v>9</v>
      </c>
      <c r="B4" s="8" t="s">
        <v>46</v>
      </c>
      <c r="C4" s="21" t="s">
        <v>47</v>
      </c>
      <c r="D4" s="8" t="n">
        <v>1</v>
      </c>
      <c r="E4" s="8" t="n">
        <v>3</v>
      </c>
      <c r="F4" s="9" t="n">
        <f aca="false">E4-D4</f>
        <v>2</v>
      </c>
      <c r="G4" s="22" t="s">
        <v>48</v>
      </c>
      <c r="H4" s="22" t="s">
        <v>49</v>
      </c>
      <c r="I4" s="23" t="s">
        <v>21</v>
      </c>
    </row>
    <row r="5" customFormat="false" ht="22.35" hidden="false" customHeight="false" outlineLevel="0" collapsed="false">
      <c r="A5" s="7" t="s">
        <v>9</v>
      </c>
      <c r="B5" s="8" t="s">
        <v>50</v>
      </c>
      <c r="C5" s="21" t="s">
        <v>51</v>
      </c>
      <c r="D5" s="8" t="n">
        <v>1</v>
      </c>
      <c r="E5" s="8" t="n">
        <v>3</v>
      </c>
      <c r="F5" s="9" t="n">
        <f aca="false">E5-D5</f>
        <v>2</v>
      </c>
      <c r="G5" s="22" t="s">
        <v>52</v>
      </c>
      <c r="H5" s="22" t="s">
        <v>53</v>
      </c>
      <c r="I5" s="23" t="s">
        <v>21</v>
      </c>
    </row>
    <row r="6" customFormat="false" ht="22.35" hidden="false" customHeight="false" outlineLevel="0" collapsed="false">
      <c r="A6" s="7" t="s">
        <v>9</v>
      </c>
      <c r="B6" s="8" t="s">
        <v>54</v>
      </c>
      <c r="C6" s="21" t="s">
        <v>55</v>
      </c>
      <c r="D6" s="8" t="n">
        <v>0</v>
      </c>
      <c r="E6" s="8" t="n">
        <v>2</v>
      </c>
      <c r="F6" s="9" t="n">
        <f aca="false">E6-D6</f>
        <v>2</v>
      </c>
      <c r="G6" s="22" t="s">
        <v>56</v>
      </c>
      <c r="H6" s="22" t="s">
        <v>57</v>
      </c>
      <c r="I6" s="24" t="s">
        <v>22</v>
      </c>
    </row>
    <row r="7" customFormat="false" ht="23.85" hidden="false" customHeight="false" outlineLevel="0" collapsed="false">
      <c r="A7" s="7" t="s">
        <v>9</v>
      </c>
      <c r="B7" s="8" t="s">
        <v>58</v>
      </c>
      <c r="C7" s="21" t="s">
        <v>59</v>
      </c>
      <c r="D7" s="8" t="n">
        <v>1</v>
      </c>
      <c r="E7" s="8" t="n">
        <v>3</v>
      </c>
      <c r="F7" s="9" t="n">
        <f aca="false">E7-D7</f>
        <v>2</v>
      </c>
      <c r="G7" s="22" t="s">
        <v>60</v>
      </c>
      <c r="H7" s="22" t="s">
        <v>61</v>
      </c>
      <c r="I7" s="23" t="s">
        <v>21</v>
      </c>
    </row>
    <row r="8" customFormat="false" ht="22.35" hidden="false" customHeight="false" outlineLevel="0" collapsed="false">
      <c r="A8" s="10" t="s">
        <v>10</v>
      </c>
      <c r="B8" s="8" t="s">
        <v>62</v>
      </c>
      <c r="C8" s="21" t="s">
        <v>63</v>
      </c>
      <c r="D8" s="8" t="n">
        <v>2</v>
      </c>
      <c r="E8" s="8" t="n">
        <v>4</v>
      </c>
      <c r="F8" s="9" t="n">
        <f aca="false">E8-D8</f>
        <v>2</v>
      </c>
      <c r="G8" s="22" t="s">
        <v>64</v>
      </c>
      <c r="H8" s="22" t="s">
        <v>65</v>
      </c>
      <c r="I8" s="23" t="s">
        <v>21</v>
      </c>
    </row>
    <row r="9" customFormat="false" ht="22.35" hidden="false" customHeight="false" outlineLevel="0" collapsed="false">
      <c r="A9" s="10" t="s">
        <v>10</v>
      </c>
      <c r="B9" s="8" t="s">
        <v>66</v>
      </c>
      <c r="C9" s="21" t="s">
        <v>67</v>
      </c>
      <c r="D9" s="8" t="n">
        <v>1</v>
      </c>
      <c r="E9" s="8" t="n">
        <v>3</v>
      </c>
      <c r="F9" s="9" t="n">
        <f aca="false">E9-D9</f>
        <v>2</v>
      </c>
      <c r="G9" s="22" t="s">
        <v>68</v>
      </c>
      <c r="H9" s="22" t="s">
        <v>69</v>
      </c>
      <c r="I9" s="23" t="s">
        <v>21</v>
      </c>
    </row>
    <row r="10" customFormat="false" ht="22.35" hidden="false" customHeight="false" outlineLevel="0" collapsed="false">
      <c r="A10" s="10" t="s">
        <v>10</v>
      </c>
      <c r="B10" s="8" t="s">
        <v>70</v>
      </c>
      <c r="C10" s="21" t="s">
        <v>71</v>
      </c>
      <c r="D10" s="8" t="n">
        <v>1</v>
      </c>
      <c r="E10" s="8" t="n">
        <v>3</v>
      </c>
      <c r="F10" s="9" t="n">
        <f aca="false">E10-D10</f>
        <v>2</v>
      </c>
      <c r="G10" s="22" t="s">
        <v>72</v>
      </c>
      <c r="H10" s="22" t="s">
        <v>73</v>
      </c>
      <c r="I10" s="24" t="s">
        <v>22</v>
      </c>
    </row>
    <row r="11" customFormat="false" ht="23.85" hidden="false" customHeight="false" outlineLevel="0" collapsed="false">
      <c r="A11" s="11" t="s">
        <v>11</v>
      </c>
      <c r="B11" s="8" t="s">
        <v>74</v>
      </c>
      <c r="C11" s="21" t="s">
        <v>75</v>
      </c>
      <c r="D11" s="8" t="n">
        <v>2</v>
      </c>
      <c r="E11" s="8" t="n">
        <v>4</v>
      </c>
      <c r="F11" s="9" t="n">
        <f aca="false">E11-D11</f>
        <v>2</v>
      </c>
      <c r="G11" s="22" t="s">
        <v>76</v>
      </c>
      <c r="H11" s="22" t="s">
        <v>77</v>
      </c>
      <c r="I11" s="25" t="s">
        <v>20</v>
      </c>
    </row>
    <row r="12" customFormat="false" ht="22.35" hidden="false" customHeight="false" outlineLevel="0" collapsed="false">
      <c r="A12" s="11" t="s">
        <v>11</v>
      </c>
      <c r="B12" s="8" t="s">
        <v>78</v>
      </c>
      <c r="C12" s="21" t="s">
        <v>79</v>
      </c>
      <c r="D12" s="8" t="n">
        <v>1</v>
      </c>
      <c r="E12" s="8" t="n">
        <v>3</v>
      </c>
      <c r="F12" s="9" t="n">
        <f aca="false">E12-D12</f>
        <v>2</v>
      </c>
      <c r="G12" s="22" t="s">
        <v>80</v>
      </c>
      <c r="H12" s="22" t="s">
        <v>81</v>
      </c>
      <c r="I12" s="23" t="s">
        <v>21</v>
      </c>
    </row>
    <row r="13" customFormat="false" ht="22.35" hidden="false" customHeight="false" outlineLevel="0" collapsed="false">
      <c r="A13" s="11" t="s">
        <v>11</v>
      </c>
      <c r="B13" s="8" t="s">
        <v>82</v>
      </c>
      <c r="C13" s="21" t="s">
        <v>83</v>
      </c>
      <c r="D13" s="8" t="n">
        <v>2</v>
      </c>
      <c r="E13" s="8" t="n">
        <v>4</v>
      </c>
      <c r="F13" s="9" t="n">
        <f aca="false">E13-D13</f>
        <v>2</v>
      </c>
      <c r="G13" s="22" t="s">
        <v>84</v>
      </c>
      <c r="H13" s="22" t="s">
        <v>85</v>
      </c>
      <c r="I13" s="23" t="s">
        <v>21</v>
      </c>
    </row>
    <row r="14" customFormat="false" ht="22.35" hidden="false" customHeight="false" outlineLevel="0" collapsed="false">
      <c r="A14" s="11" t="s">
        <v>11</v>
      </c>
      <c r="B14" s="8" t="s">
        <v>86</v>
      </c>
      <c r="C14" s="21" t="s">
        <v>87</v>
      </c>
      <c r="D14" s="8" t="n">
        <v>2</v>
      </c>
      <c r="E14" s="8" t="n">
        <v>3</v>
      </c>
      <c r="F14" s="9" t="n">
        <f aca="false">E14-D14</f>
        <v>1</v>
      </c>
      <c r="G14" s="22" t="s">
        <v>88</v>
      </c>
      <c r="H14" s="22" t="s">
        <v>89</v>
      </c>
      <c r="I14" s="23" t="s">
        <v>21</v>
      </c>
    </row>
    <row r="15" customFormat="false" ht="23.85" hidden="false" customHeight="false" outlineLevel="0" collapsed="false">
      <c r="A15" s="11" t="s">
        <v>11</v>
      </c>
      <c r="B15" s="8" t="s">
        <v>90</v>
      </c>
      <c r="C15" s="21" t="s">
        <v>91</v>
      </c>
      <c r="D15" s="8" t="n">
        <v>2</v>
      </c>
      <c r="E15" s="8" t="n">
        <v>3</v>
      </c>
      <c r="F15" s="9" t="n">
        <f aca="false">E15-D15</f>
        <v>1</v>
      </c>
      <c r="G15" s="22" t="s">
        <v>92</v>
      </c>
      <c r="H15" s="22" t="s">
        <v>93</v>
      </c>
      <c r="I15" s="24" t="s">
        <v>22</v>
      </c>
    </row>
    <row r="16" customFormat="false" ht="22.35" hidden="false" customHeight="false" outlineLevel="0" collapsed="false">
      <c r="A16" s="12" t="s">
        <v>12</v>
      </c>
      <c r="B16" s="8" t="s">
        <v>94</v>
      </c>
      <c r="C16" s="21" t="s">
        <v>95</v>
      </c>
      <c r="D16" s="8" t="n">
        <v>1</v>
      </c>
      <c r="E16" s="8" t="n">
        <v>3</v>
      </c>
      <c r="F16" s="9" t="n">
        <f aca="false">E16-D16</f>
        <v>2</v>
      </c>
      <c r="G16" s="22" t="s">
        <v>96</v>
      </c>
      <c r="H16" s="22" t="s">
        <v>97</v>
      </c>
      <c r="I16" s="25" t="s">
        <v>20</v>
      </c>
    </row>
    <row r="17" customFormat="false" ht="22.35" hidden="false" customHeight="false" outlineLevel="0" collapsed="false">
      <c r="A17" s="12" t="s">
        <v>12</v>
      </c>
      <c r="B17" s="8" t="s">
        <v>98</v>
      </c>
      <c r="C17" s="21" t="s">
        <v>99</v>
      </c>
      <c r="D17" s="8" t="n">
        <v>1</v>
      </c>
      <c r="E17" s="8" t="n">
        <v>3</v>
      </c>
      <c r="F17" s="9" t="n">
        <f aca="false">E17-D17</f>
        <v>2</v>
      </c>
      <c r="G17" s="22" t="s">
        <v>100</v>
      </c>
      <c r="H17" s="22" t="s">
        <v>101</v>
      </c>
      <c r="I17" s="23" t="s">
        <v>21</v>
      </c>
    </row>
    <row r="18" customFormat="false" ht="22.35" hidden="false" customHeight="false" outlineLevel="0" collapsed="false">
      <c r="A18" s="13" t="s">
        <v>13</v>
      </c>
      <c r="B18" s="8" t="s">
        <v>102</v>
      </c>
      <c r="C18" s="21" t="s">
        <v>103</v>
      </c>
      <c r="D18" s="8" t="n">
        <v>1</v>
      </c>
      <c r="E18" s="8" t="n">
        <v>3</v>
      </c>
      <c r="F18" s="9" t="n">
        <f aca="false">E18-D18</f>
        <v>2</v>
      </c>
      <c r="G18" s="22" t="s">
        <v>104</v>
      </c>
      <c r="H18" s="22" t="s">
        <v>105</v>
      </c>
      <c r="I18" s="25" t="s">
        <v>20</v>
      </c>
    </row>
    <row r="19" customFormat="false" ht="15" hidden="false" customHeight="false" outlineLevel="0" collapsed="false">
      <c r="A19" s="13" t="s">
        <v>13</v>
      </c>
      <c r="B19" s="8" t="s">
        <v>106</v>
      </c>
      <c r="C19" s="21" t="s">
        <v>107</v>
      </c>
      <c r="D19" s="8" t="n">
        <v>1</v>
      </c>
      <c r="E19" s="8" t="n">
        <v>2</v>
      </c>
      <c r="F19" s="9" t="n">
        <f aca="false">E19-D19</f>
        <v>1</v>
      </c>
      <c r="G19" s="22" t="s">
        <v>108</v>
      </c>
      <c r="H19" s="22" t="s">
        <v>109</v>
      </c>
      <c r="I19" s="23" t="s">
        <v>21</v>
      </c>
    </row>
    <row r="20" customFormat="false" ht="23.85" hidden="false" customHeight="false" outlineLevel="0" collapsed="false">
      <c r="A20" s="13" t="s">
        <v>13</v>
      </c>
      <c r="B20" s="8" t="s">
        <v>110</v>
      </c>
      <c r="C20" s="21" t="s">
        <v>111</v>
      </c>
      <c r="D20" s="8" t="n">
        <v>1</v>
      </c>
      <c r="E20" s="8" t="n">
        <v>3</v>
      </c>
      <c r="F20" s="9" t="n">
        <f aca="false">E20-D20</f>
        <v>2</v>
      </c>
      <c r="G20" s="22" t="s">
        <v>112</v>
      </c>
      <c r="H20" s="22" t="s">
        <v>113</v>
      </c>
      <c r="I20" s="25" t="s">
        <v>20</v>
      </c>
    </row>
    <row r="21" customFormat="false" ht="22.35" hidden="false" customHeight="false" outlineLevel="0" collapsed="false">
      <c r="A21" s="13" t="s">
        <v>13</v>
      </c>
      <c r="B21" s="8" t="s">
        <v>114</v>
      </c>
      <c r="C21" s="21" t="s">
        <v>115</v>
      </c>
      <c r="D21" s="8" t="n">
        <v>2</v>
      </c>
      <c r="E21" s="8" t="n">
        <v>3</v>
      </c>
      <c r="F21" s="9" t="n">
        <f aca="false">E21-D21</f>
        <v>1</v>
      </c>
      <c r="G21" s="22" t="s">
        <v>116</v>
      </c>
      <c r="H21" s="22" t="s">
        <v>117</v>
      </c>
      <c r="I21" s="24" t="s">
        <v>22</v>
      </c>
    </row>
    <row r="22" customFormat="false" ht="23.85" hidden="false" customHeight="false" outlineLevel="0" collapsed="false">
      <c r="A22" s="14" t="s">
        <v>14</v>
      </c>
      <c r="B22" s="8" t="s">
        <v>118</v>
      </c>
      <c r="C22" s="21" t="s">
        <v>119</v>
      </c>
      <c r="D22" s="8" t="n">
        <v>1</v>
      </c>
      <c r="E22" s="8" t="n">
        <v>3</v>
      </c>
      <c r="F22" s="9" t="n">
        <f aca="false">E22-D22</f>
        <v>2</v>
      </c>
      <c r="G22" s="22" t="s">
        <v>120</v>
      </c>
      <c r="H22" s="22" t="s">
        <v>121</v>
      </c>
      <c r="I22" s="23" t="s">
        <v>21</v>
      </c>
    </row>
    <row r="23" customFormat="false" ht="23.85" hidden="false" customHeight="false" outlineLevel="0" collapsed="false">
      <c r="A23" s="14" t="s">
        <v>14</v>
      </c>
      <c r="B23" s="8" t="s">
        <v>122</v>
      </c>
      <c r="C23" s="21" t="s">
        <v>123</v>
      </c>
      <c r="D23" s="8" t="n">
        <v>1</v>
      </c>
      <c r="E23" s="8" t="n">
        <v>2</v>
      </c>
      <c r="F23" s="9" t="n">
        <f aca="false">E23-D23</f>
        <v>1</v>
      </c>
      <c r="G23" s="22" t="s">
        <v>124</v>
      </c>
      <c r="H23" s="22" t="s">
        <v>125</v>
      </c>
      <c r="I23" s="24" t="s">
        <v>22</v>
      </c>
    </row>
  </sheetData>
  <autoFilter ref="A1:I23"/>
  <conditionalFormatting sqref="F2:F2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46"/>
    <col collapsed="false" customWidth="true" hidden="false" outlineLevel="0" max="10" min="10" style="0" width="16"/>
    <col collapsed="false" customWidth="true" hidden="false" outlineLevel="0" max="12" min="11" style="0" width="7"/>
    <col collapsed="false" customWidth="true" hidden="false" outlineLevel="0" max="13" min="13" style="0" width="10"/>
    <col collapsed="false" customWidth="true" hidden="false" outlineLevel="0" max="14" min="14" style="0" width="11"/>
  </cols>
  <sheetData>
    <row r="1" customFormat="false" ht="35.05" hidden="false" customHeight="false" outlineLevel="0" collapsed="false">
      <c r="A1" s="6" t="s">
        <v>126</v>
      </c>
      <c r="B1" s="6" t="s">
        <v>127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17</v>
      </c>
      <c r="H1" s="6" t="s">
        <v>132</v>
      </c>
      <c r="I1" s="6" t="s">
        <v>133</v>
      </c>
      <c r="J1" s="6" t="s">
        <v>134</v>
      </c>
      <c r="K1" s="6" t="s">
        <v>135</v>
      </c>
      <c r="L1" s="6" t="s">
        <v>136</v>
      </c>
      <c r="M1" s="6" t="s">
        <v>137</v>
      </c>
      <c r="N1" s="6" t="s">
        <v>138</v>
      </c>
    </row>
    <row r="2" customFormat="false" ht="32.8" hidden="false" customHeight="false" outlineLevel="0" collapsed="false">
      <c r="A2" s="9" t="s">
        <v>139</v>
      </c>
      <c r="B2" s="22" t="s">
        <v>140</v>
      </c>
      <c r="C2" s="26" t="s">
        <v>74</v>
      </c>
      <c r="D2" s="8" t="n">
        <v>4</v>
      </c>
      <c r="E2" s="8" t="n">
        <v>5</v>
      </c>
      <c r="F2" s="9" t="n">
        <f aca="false">D2*E2</f>
        <v>20</v>
      </c>
      <c r="G2" s="9" t="str">
        <f aca="false">IF(F2&gt;=16,"Critical",IF(F2&gt;=10,"High",IF(F2&gt;=5,"Medium","Low")))</f>
        <v>Critical</v>
      </c>
      <c r="H2" s="26" t="s">
        <v>141</v>
      </c>
      <c r="I2" s="22" t="s">
        <v>142</v>
      </c>
      <c r="J2" s="26" t="s">
        <v>143</v>
      </c>
      <c r="K2" s="8" t="n">
        <v>2</v>
      </c>
      <c r="L2" s="8" t="n">
        <v>4</v>
      </c>
      <c r="M2" s="9" t="n">
        <f aca="false">K2*L2</f>
        <v>8</v>
      </c>
      <c r="N2" s="9" t="str">
        <f aca="false">IF(M2&gt;=16,"Critical",IF(M2&gt;=10,"High",IF(M2&gt;=5,"Medium","Low")))</f>
        <v>Medium</v>
      </c>
    </row>
    <row r="3" customFormat="false" ht="22.35" hidden="false" customHeight="false" outlineLevel="0" collapsed="false">
      <c r="A3" s="9" t="s">
        <v>144</v>
      </c>
      <c r="B3" s="22" t="s">
        <v>145</v>
      </c>
      <c r="C3" s="26" t="s">
        <v>74</v>
      </c>
      <c r="D3" s="8" t="n">
        <v>4</v>
      </c>
      <c r="E3" s="8" t="n">
        <v>4</v>
      </c>
      <c r="F3" s="9" t="n">
        <f aca="false">D3*E3</f>
        <v>16</v>
      </c>
      <c r="G3" s="9" t="str">
        <f aca="false">IF(F3&gt;=16,"Critical",IF(F3&gt;=10,"High",IF(F3&gt;=5,"Medium","Low")))</f>
        <v>Critical</v>
      </c>
      <c r="H3" s="26" t="s">
        <v>141</v>
      </c>
      <c r="I3" s="22" t="s">
        <v>146</v>
      </c>
      <c r="J3" s="26" t="s">
        <v>147</v>
      </c>
      <c r="K3" s="8" t="n">
        <v>2</v>
      </c>
      <c r="L3" s="8" t="n">
        <v>3</v>
      </c>
      <c r="M3" s="9" t="n">
        <f aca="false">K3*L3</f>
        <v>6</v>
      </c>
      <c r="N3" s="9" t="str">
        <f aca="false">IF(M3&gt;=16,"Critical",IF(M3&gt;=10,"High",IF(M3&gt;=5,"Medium","Low")))</f>
        <v>Medium</v>
      </c>
    </row>
    <row r="4" customFormat="false" ht="22.35" hidden="false" customHeight="false" outlineLevel="0" collapsed="false">
      <c r="A4" s="9" t="s">
        <v>148</v>
      </c>
      <c r="B4" s="22" t="s">
        <v>149</v>
      </c>
      <c r="C4" s="26" t="s">
        <v>74</v>
      </c>
      <c r="D4" s="8" t="n">
        <v>4</v>
      </c>
      <c r="E4" s="8" t="n">
        <v>4</v>
      </c>
      <c r="F4" s="9" t="n">
        <f aca="false">D4*E4</f>
        <v>16</v>
      </c>
      <c r="G4" s="9" t="str">
        <f aca="false">IF(F4&gt;=16,"Critical",IF(F4&gt;=10,"High",IF(F4&gt;=5,"Medium","Low")))</f>
        <v>Critical</v>
      </c>
      <c r="H4" s="26" t="s">
        <v>141</v>
      </c>
      <c r="I4" s="22" t="s">
        <v>150</v>
      </c>
      <c r="J4" s="26" t="s">
        <v>143</v>
      </c>
      <c r="K4" s="8" t="n">
        <v>2</v>
      </c>
      <c r="L4" s="8" t="n">
        <v>4</v>
      </c>
      <c r="M4" s="9" t="n">
        <f aca="false">K4*L4</f>
        <v>8</v>
      </c>
      <c r="N4" s="9" t="str">
        <f aca="false">IF(M4&gt;=16,"Critical",IF(M4&gt;=10,"High",IF(M4&gt;=5,"Medium","Low")))</f>
        <v>Medium</v>
      </c>
    </row>
    <row r="5" customFormat="false" ht="22.35" hidden="false" customHeight="false" outlineLevel="0" collapsed="false">
      <c r="A5" s="9" t="s">
        <v>151</v>
      </c>
      <c r="B5" s="22" t="s">
        <v>152</v>
      </c>
      <c r="C5" s="26" t="s">
        <v>153</v>
      </c>
      <c r="D5" s="8" t="n">
        <v>3</v>
      </c>
      <c r="E5" s="8" t="n">
        <v>5</v>
      </c>
      <c r="F5" s="9" t="n">
        <f aca="false">D5*E5</f>
        <v>15</v>
      </c>
      <c r="G5" s="9" t="str">
        <f aca="false">IF(F5&gt;=16,"Critical",IF(F5&gt;=10,"High",IF(F5&gt;=5,"Medium","Low")))</f>
        <v>High</v>
      </c>
      <c r="H5" s="26" t="s">
        <v>141</v>
      </c>
      <c r="I5" s="22" t="s">
        <v>154</v>
      </c>
      <c r="J5" s="26" t="s">
        <v>143</v>
      </c>
      <c r="K5" s="8" t="n">
        <v>2</v>
      </c>
      <c r="L5" s="8" t="n">
        <v>4</v>
      </c>
      <c r="M5" s="9" t="n">
        <f aca="false">K5*L5</f>
        <v>8</v>
      </c>
      <c r="N5" s="9" t="str">
        <f aca="false">IF(M5&gt;=16,"Critical",IF(M5&gt;=10,"High",IF(M5&gt;=5,"Medium","Low")))</f>
        <v>Medium</v>
      </c>
    </row>
    <row r="6" customFormat="false" ht="22.35" hidden="false" customHeight="false" outlineLevel="0" collapsed="false">
      <c r="A6" s="9" t="s">
        <v>155</v>
      </c>
      <c r="B6" s="22" t="s">
        <v>156</v>
      </c>
      <c r="C6" s="26" t="s">
        <v>94</v>
      </c>
      <c r="D6" s="8" t="n">
        <v>4</v>
      </c>
      <c r="E6" s="8" t="n">
        <v>4</v>
      </c>
      <c r="F6" s="9" t="n">
        <f aca="false">D6*E6</f>
        <v>16</v>
      </c>
      <c r="G6" s="9" t="str">
        <f aca="false">IF(F6&gt;=16,"Critical",IF(F6&gt;=10,"High",IF(F6&gt;=5,"Medium","Low")))</f>
        <v>Critical</v>
      </c>
      <c r="H6" s="26" t="s">
        <v>141</v>
      </c>
      <c r="I6" s="22" t="s">
        <v>157</v>
      </c>
      <c r="J6" s="26" t="s">
        <v>143</v>
      </c>
      <c r="K6" s="8" t="n">
        <v>2</v>
      </c>
      <c r="L6" s="8" t="n">
        <v>3</v>
      </c>
      <c r="M6" s="9" t="n">
        <f aca="false">K6*L6</f>
        <v>6</v>
      </c>
      <c r="N6" s="9" t="str">
        <f aca="false">IF(M6&gt;=16,"Critical",IF(M6&gt;=10,"High",IF(M6&gt;=5,"Medium","Low")))</f>
        <v>Medium</v>
      </c>
    </row>
    <row r="7" customFormat="false" ht="22.35" hidden="false" customHeight="false" outlineLevel="0" collapsed="false">
      <c r="A7" s="9" t="s">
        <v>158</v>
      </c>
      <c r="B7" s="22" t="s">
        <v>159</v>
      </c>
      <c r="C7" s="26" t="s">
        <v>58</v>
      </c>
      <c r="D7" s="8" t="n">
        <v>3</v>
      </c>
      <c r="E7" s="8" t="n">
        <v>5</v>
      </c>
      <c r="F7" s="9" t="n">
        <f aca="false">D7*E7</f>
        <v>15</v>
      </c>
      <c r="G7" s="9" t="str">
        <f aca="false">IF(F7&gt;=16,"Critical",IF(F7&gt;=10,"High",IF(F7&gt;=5,"Medium","Low")))</f>
        <v>High</v>
      </c>
      <c r="H7" s="26" t="s">
        <v>141</v>
      </c>
      <c r="I7" s="22" t="s">
        <v>160</v>
      </c>
      <c r="J7" s="26" t="s">
        <v>143</v>
      </c>
      <c r="K7" s="8" t="n">
        <v>2</v>
      </c>
      <c r="L7" s="8" t="n">
        <v>4</v>
      </c>
      <c r="M7" s="9" t="n">
        <f aca="false">K7*L7</f>
        <v>8</v>
      </c>
      <c r="N7" s="9" t="str">
        <f aca="false">IF(M7&gt;=16,"Critical",IF(M7&gt;=10,"High",IF(M7&gt;=5,"Medium","Low")))</f>
        <v>Medium</v>
      </c>
    </row>
    <row r="8" customFormat="false" ht="22.35" hidden="false" customHeight="false" outlineLevel="0" collapsed="false">
      <c r="A8" s="9" t="s">
        <v>161</v>
      </c>
      <c r="B8" s="22" t="s">
        <v>162</v>
      </c>
      <c r="C8" s="26" t="s">
        <v>82</v>
      </c>
      <c r="D8" s="8" t="n">
        <v>3</v>
      </c>
      <c r="E8" s="8" t="n">
        <v>4</v>
      </c>
      <c r="F8" s="9" t="n">
        <f aca="false">D8*E8</f>
        <v>12</v>
      </c>
      <c r="G8" s="9" t="str">
        <f aca="false">IF(F8&gt;=16,"Critical",IF(F8&gt;=10,"High",IF(F8&gt;=5,"Medium","Low")))</f>
        <v>High</v>
      </c>
      <c r="H8" s="26" t="s">
        <v>141</v>
      </c>
      <c r="I8" s="22" t="s">
        <v>163</v>
      </c>
      <c r="J8" s="26" t="s">
        <v>164</v>
      </c>
      <c r="K8" s="8" t="n">
        <v>2</v>
      </c>
      <c r="L8" s="8" t="n">
        <v>3</v>
      </c>
      <c r="M8" s="9" t="n">
        <f aca="false">K8*L8</f>
        <v>6</v>
      </c>
      <c r="N8" s="9" t="str">
        <f aca="false">IF(M8&gt;=16,"Critical",IF(M8&gt;=10,"High",IF(M8&gt;=5,"Medium","Low")))</f>
        <v>Medium</v>
      </c>
    </row>
    <row r="9" customFormat="false" ht="22.35" hidden="false" customHeight="false" outlineLevel="0" collapsed="false">
      <c r="A9" s="9" t="s">
        <v>165</v>
      </c>
      <c r="B9" s="22" t="s">
        <v>166</v>
      </c>
      <c r="C9" s="26" t="s">
        <v>74</v>
      </c>
      <c r="D9" s="8" t="n">
        <v>2</v>
      </c>
      <c r="E9" s="8" t="n">
        <v>4</v>
      </c>
      <c r="F9" s="9" t="n">
        <f aca="false">D9*E9</f>
        <v>8</v>
      </c>
      <c r="G9" s="9" t="str">
        <f aca="false">IF(F9&gt;=16,"Critical",IF(F9&gt;=10,"High",IF(F9&gt;=5,"Medium","Low")))</f>
        <v>Medium</v>
      </c>
      <c r="H9" s="26" t="s">
        <v>141</v>
      </c>
      <c r="I9" s="22" t="s">
        <v>167</v>
      </c>
      <c r="J9" s="26" t="s">
        <v>143</v>
      </c>
      <c r="K9" s="8" t="n">
        <v>1</v>
      </c>
      <c r="L9" s="8" t="n">
        <v>3</v>
      </c>
      <c r="M9" s="9" t="n">
        <f aca="false">K9*L9</f>
        <v>3</v>
      </c>
      <c r="N9" s="9" t="str">
        <f aca="false">IF(M9&gt;=16,"Critical",IF(M9&gt;=10,"High",IF(M9&gt;=5,"Medium","Low")))</f>
        <v>Low</v>
      </c>
    </row>
    <row r="10" customFormat="false" ht="22.35" hidden="false" customHeight="false" outlineLevel="0" collapsed="false">
      <c r="A10" s="9" t="s">
        <v>168</v>
      </c>
      <c r="B10" s="22" t="s">
        <v>169</v>
      </c>
      <c r="C10" s="26" t="s">
        <v>118</v>
      </c>
      <c r="D10" s="8" t="n">
        <v>3</v>
      </c>
      <c r="E10" s="8" t="n">
        <v>5</v>
      </c>
      <c r="F10" s="9" t="n">
        <f aca="false">D10*E10</f>
        <v>15</v>
      </c>
      <c r="G10" s="9" t="str">
        <f aca="false">IF(F10&gt;=16,"Critical",IF(F10&gt;=10,"High",IF(F10&gt;=5,"Medium","Low")))</f>
        <v>High</v>
      </c>
      <c r="H10" s="26" t="s">
        <v>141</v>
      </c>
      <c r="I10" s="22" t="s">
        <v>170</v>
      </c>
      <c r="J10" s="26" t="s">
        <v>171</v>
      </c>
      <c r="K10" s="8" t="n">
        <v>2</v>
      </c>
      <c r="L10" s="8" t="n">
        <v>4</v>
      </c>
      <c r="M10" s="9" t="n">
        <f aca="false">K10*L10</f>
        <v>8</v>
      </c>
      <c r="N10" s="9" t="str">
        <f aca="false">IF(M10&gt;=16,"Critical",IF(M10&gt;=10,"High",IF(M10&gt;=5,"Medium","Low")))</f>
        <v>Medium</v>
      </c>
    </row>
    <row r="11" customFormat="false" ht="22.35" hidden="false" customHeight="false" outlineLevel="0" collapsed="false">
      <c r="A11" s="9" t="s">
        <v>172</v>
      </c>
      <c r="B11" s="22" t="s">
        <v>173</v>
      </c>
      <c r="C11" s="26" t="s">
        <v>78</v>
      </c>
      <c r="D11" s="8" t="n">
        <v>4</v>
      </c>
      <c r="E11" s="8" t="n">
        <v>3</v>
      </c>
      <c r="F11" s="9" t="n">
        <f aca="false">D11*E11</f>
        <v>12</v>
      </c>
      <c r="G11" s="9" t="str">
        <f aca="false">IF(F11&gt;=16,"Critical",IF(F11&gt;=10,"High",IF(F11&gt;=5,"Medium","Low")))</f>
        <v>High</v>
      </c>
      <c r="H11" s="26" t="s">
        <v>141</v>
      </c>
      <c r="I11" s="22" t="s">
        <v>174</v>
      </c>
      <c r="J11" s="26" t="s">
        <v>143</v>
      </c>
      <c r="K11" s="8" t="n">
        <v>2</v>
      </c>
      <c r="L11" s="8" t="n">
        <v>3</v>
      </c>
      <c r="M11" s="9" t="n">
        <f aca="false">K11*L11</f>
        <v>6</v>
      </c>
      <c r="N11" s="9" t="str">
        <f aca="false">IF(M11&gt;=16,"Critical",IF(M11&gt;=10,"High",IF(M11&gt;=5,"Medium","Low")))</f>
        <v>Medium</v>
      </c>
    </row>
    <row r="12" customFormat="false" ht="22.35" hidden="false" customHeight="false" outlineLevel="0" collapsed="false">
      <c r="A12" s="9" t="s">
        <v>175</v>
      </c>
      <c r="B12" s="22" t="s">
        <v>176</v>
      </c>
      <c r="C12" s="26" t="s">
        <v>86</v>
      </c>
      <c r="D12" s="8" t="n">
        <v>3</v>
      </c>
      <c r="E12" s="8" t="n">
        <v>4</v>
      </c>
      <c r="F12" s="9" t="n">
        <f aca="false">D12*E12</f>
        <v>12</v>
      </c>
      <c r="G12" s="9" t="str">
        <f aca="false">IF(F12&gt;=16,"Critical",IF(F12&gt;=10,"High",IF(F12&gt;=5,"Medium","Low")))</f>
        <v>High</v>
      </c>
      <c r="H12" s="26" t="s">
        <v>141</v>
      </c>
      <c r="I12" s="22" t="s">
        <v>177</v>
      </c>
      <c r="J12" s="26" t="s">
        <v>171</v>
      </c>
      <c r="K12" s="8" t="n">
        <v>2</v>
      </c>
      <c r="L12" s="8" t="n">
        <v>3</v>
      </c>
      <c r="M12" s="9" t="n">
        <f aca="false">K12*L12</f>
        <v>6</v>
      </c>
      <c r="N12" s="9" t="str">
        <f aca="false">IF(M12&gt;=16,"Critical",IF(M12&gt;=10,"High",IF(M12&gt;=5,"Medium","Low")))</f>
        <v>Medium</v>
      </c>
    </row>
    <row r="13" customFormat="false" ht="22.35" hidden="false" customHeight="false" outlineLevel="0" collapsed="false">
      <c r="A13" s="9" t="s">
        <v>178</v>
      </c>
      <c r="B13" s="22" t="s">
        <v>179</v>
      </c>
      <c r="C13" s="26" t="s">
        <v>66</v>
      </c>
      <c r="D13" s="8" t="n">
        <v>4</v>
      </c>
      <c r="E13" s="8" t="n">
        <v>3</v>
      </c>
      <c r="F13" s="9" t="n">
        <f aca="false">D13*E13</f>
        <v>12</v>
      </c>
      <c r="G13" s="9" t="str">
        <f aca="false">IF(F13&gt;=16,"Critical",IF(F13&gt;=10,"High",IF(F13&gt;=5,"Medium","Low")))</f>
        <v>High</v>
      </c>
      <c r="H13" s="26" t="s">
        <v>141</v>
      </c>
      <c r="I13" s="22" t="s">
        <v>180</v>
      </c>
      <c r="J13" s="26" t="s">
        <v>143</v>
      </c>
      <c r="K13" s="8" t="n">
        <v>2</v>
      </c>
      <c r="L13" s="8" t="n">
        <v>2</v>
      </c>
      <c r="M13" s="9" t="n">
        <f aca="false">K13*L13</f>
        <v>4</v>
      </c>
      <c r="N13" s="9" t="str">
        <f aca="false">IF(M13&gt;=16,"Critical",IF(M13&gt;=10,"High",IF(M13&gt;=5,"Medium","Low")))</f>
        <v>Low</v>
      </c>
    </row>
    <row r="14" customFormat="false" ht="22.35" hidden="false" customHeight="false" outlineLevel="0" collapsed="false">
      <c r="A14" s="9" t="s">
        <v>181</v>
      </c>
      <c r="B14" s="22" t="s">
        <v>182</v>
      </c>
      <c r="C14" s="26" t="s">
        <v>86</v>
      </c>
      <c r="D14" s="8" t="n">
        <v>3</v>
      </c>
      <c r="E14" s="8" t="n">
        <v>5</v>
      </c>
      <c r="F14" s="9" t="n">
        <f aca="false">D14*E14</f>
        <v>15</v>
      </c>
      <c r="G14" s="9" t="str">
        <f aca="false">IF(F14&gt;=16,"Critical",IF(F14&gt;=10,"High",IF(F14&gt;=5,"Medium","Low")))</f>
        <v>High</v>
      </c>
      <c r="H14" s="26" t="s">
        <v>141</v>
      </c>
      <c r="I14" s="22" t="s">
        <v>183</v>
      </c>
      <c r="J14" s="26" t="s">
        <v>143</v>
      </c>
      <c r="K14" s="8" t="n">
        <v>2</v>
      </c>
      <c r="L14" s="8" t="n">
        <v>4</v>
      </c>
      <c r="M14" s="9" t="n">
        <f aca="false">K14*L14</f>
        <v>8</v>
      </c>
      <c r="N14" s="9" t="str">
        <f aca="false">IF(M14&gt;=16,"Critical",IF(M14&gt;=10,"High",IF(M14&gt;=5,"Medium","Low")))</f>
        <v>Medium</v>
      </c>
    </row>
    <row r="15" customFormat="false" ht="22.35" hidden="false" customHeight="false" outlineLevel="0" collapsed="false">
      <c r="A15" s="9" t="s">
        <v>184</v>
      </c>
      <c r="B15" s="22" t="s">
        <v>185</v>
      </c>
      <c r="C15" s="26" t="s">
        <v>106</v>
      </c>
      <c r="D15" s="8" t="n">
        <v>3</v>
      </c>
      <c r="E15" s="8" t="n">
        <v>3</v>
      </c>
      <c r="F15" s="9" t="n">
        <f aca="false">D15*E15</f>
        <v>9</v>
      </c>
      <c r="G15" s="9" t="str">
        <f aca="false">IF(F15&gt;=16,"Critical",IF(F15&gt;=10,"High",IF(F15&gt;=5,"Medium","Low")))</f>
        <v>Medium</v>
      </c>
      <c r="H15" s="26" t="s">
        <v>186</v>
      </c>
      <c r="I15" s="22" t="s">
        <v>187</v>
      </c>
      <c r="J15" s="26" t="s">
        <v>143</v>
      </c>
      <c r="K15" s="8" t="n">
        <v>2</v>
      </c>
      <c r="L15" s="8" t="n">
        <v>2</v>
      </c>
      <c r="M15" s="9" t="n">
        <f aca="false">K15*L15</f>
        <v>4</v>
      </c>
      <c r="N15" s="9" t="str">
        <f aca="false">IF(M15&gt;=16,"Critical",IF(M15&gt;=10,"High",IF(M15&gt;=5,"Medium","Low")))</f>
        <v>Low</v>
      </c>
    </row>
  </sheetData>
  <autoFilter ref="A1:N15"/>
  <conditionalFormatting sqref="F2:F15">
    <cfRule type="colorScale" priority="2">
      <colorScale>
        <cfvo type="num" val="1"/>
        <cfvo type="num" val="10"/>
        <cfvo type="num" val="25"/>
        <color rgb="FF63BE7B"/>
        <color rgb="FFFFEB84"/>
        <color rgb="FFF8696B"/>
      </colorScale>
    </cfRule>
  </conditionalFormatting>
  <conditionalFormatting sqref="M2:M15">
    <cfRule type="colorScale" priority="3">
      <colorScale>
        <cfvo type="num" val="1"/>
        <cfvo type="num" val="10"/>
        <cfvo type="num" val="2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6" t="s">
        <v>188</v>
      </c>
      <c r="B1" s="6" t="s">
        <v>189</v>
      </c>
      <c r="C1" s="6" t="s">
        <v>190</v>
      </c>
      <c r="D1" s="6" t="s">
        <v>191</v>
      </c>
      <c r="E1" s="6" t="s">
        <v>192</v>
      </c>
      <c r="F1" s="6" t="s">
        <v>134</v>
      </c>
    </row>
    <row r="2" customFormat="false" ht="15" hidden="false" customHeight="false" outlineLevel="0" collapsed="false">
      <c r="A2" s="27" t="s">
        <v>193</v>
      </c>
      <c r="B2" s="22" t="s">
        <v>194</v>
      </c>
      <c r="C2" s="26" t="s">
        <v>195</v>
      </c>
      <c r="D2" s="26" t="s">
        <v>23</v>
      </c>
      <c r="E2" s="26" t="s">
        <v>196</v>
      </c>
      <c r="F2" s="26" t="s">
        <v>143</v>
      </c>
    </row>
    <row r="3" customFormat="false" ht="15" hidden="false" customHeight="false" outlineLevel="0" collapsed="false">
      <c r="A3" s="27" t="s">
        <v>193</v>
      </c>
      <c r="B3" s="22" t="s">
        <v>197</v>
      </c>
      <c r="C3" s="26" t="s">
        <v>198</v>
      </c>
      <c r="D3" s="26" t="s">
        <v>23</v>
      </c>
      <c r="E3" s="26" t="s">
        <v>196</v>
      </c>
      <c r="F3" s="26" t="s">
        <v>143</v>
      </c>
    </row>
    <row r="4" customFormat="false" ht="15" hidden="false" customHeight="false" outlineLevel="0" collapsed="false">
      <c r="A4" s="27" t="s">
        <v>193</v>
      </c>
      <c r="B4" s="22" t="s">
        <v>199</v>
      </c>
      <c r="C4" s="26" t="s">
        <v>200</v>
      </c>
      <c r="D4" s="26" t="s">
        <v>23</v>
      </c>
      <c r="E4" s="26" t="s">
        <v>196</v>
      </c>
      <c r="F4" s="26" t="s">
        <v>143</v>
      </c>
    </row>
    <row r="5" customFormat="false" ht="15" hidden="false" customHeight="false" outlineLevel="0" collapsed="false">
      <c r="A5" s="27" t="s">
        <v>193</v>
      </c>
      <c r="B5" s="22" t="s">
        <v>201</v>
      </c>
      <c r="C5" s="26" t="s">
        <v>202</v>
      </c>
      <c r="D5" s="26" t="s">
        <v>23</v>
      </c>
      <c r="E5" s="26" t="s">
        <v>196</v>
      </c>
      <c r="F5" s="26" t="s">
        <v>143</v>
      </c>
    </row>
    <row r="6" customFormat="false" ht="15" hidden="false" customHeight="false" outlineLevel="0" collapsed="false">
      <c r="A6" s="28" t="s">
        <v>203</v>
      </c>
      <c r="B6" s="22" t="s">
        <v>204</v>
      </c>
      <c r="C6" s="26" t="s">
        <v>205</v>
      </c>
      <c r="D6" s="26" t="s">
        <v>22</v>
      </c>
      <c r="E6" s="26" t="s">
        <v>206</v>
      </c>
      <c r="F6" s="26" t="s">
        <v>143</v>
      </c>
    </row>
    <row r="7" customFormat="false" ht="15" hidden="false" customHeight="false" outlineLevel="0" collapsed="false">
      <c r="A7" s="28" t="s">
        <v>203</v>
      </c>
      <c r="B7" s="22" t="s">
        <v>207</v>
      </c>
      <c r="C7" s="26" t="s">
        <v>208</v>
      </c>
      <c r="D7" s="26" t="s">
        <v>22</v>
      </c>
      <c r="E7" s="26" t="s">
        <v>196</v>
      </c>
      <c r="F7" s="26" t="s">
        <v>143</v>
      </c>
    </row>
    <row r="8" customFormat="false" ht="15" hidden="false" customHeight="false" outlineLevel="0" collapsed="false">
      <c r="A8" s="28" t="s">
        <v>203</v>
      </c>
      <c r="B8" s="22" t="s">
        <v>209</v>
      </c>
      <c r="C8" s="26" t="s">
        <v>200</v>
      </c>
      <c r="D8" s="26" t="s">
        <v>22</v>
      </c>
      <c r="E8" s="26" t="s">
        <v>196</v>
      </c>
      <c r="F8" s="26" t="s">
        <v>143</v>
      </c>
    </row>
    <row r="9" customFormat="false" ht="15" hidden="false" customHeight="false" outlineLevel="0" collapsed="false">
      <c r="A9" s="28" t="s">
        <v>203</v>
      </c>
      <c r="B9" s="22" t="s">
        <v>210</v>
      </c>
      <c r="C9" s="26" t="s">
        <v>211</v>
      </c>
      <c r="D9" s="26" t="s">
        <v>23</v>
      </c>
      <c r="E9" s="26" t="s">
        <v>196</v>
      </c>
      <c r="F9" s="26" t="s">
        <v>143</v>
      </c>
    </row>
    <row r="10" customFormat="false" ht="15" hidden="false" customHeight="false" outlineLevel="0" collapsed="false">
      <c r="A10" s="28" t="s">
        <v>203</v>
      </c>
      <c r="B10" s="22" t="s">
        <v>212</v>
      </c>
      <c r="C10" s="26" t="s">
        <v>213</v>
      </c>
      <c r="D10" s="26" t="s">
        <v>22</v>
      </c>
      <c r="E10" s="26" t="s">
        <v>206</v>
      </c>
      <c r="F10" s="26" t="s">
        <v>171</v>
      </c>
    </row>
    <row r="11" customFormat="false" ht="22.35" hidden="false" customHeight="false" outlineLevel="0" collapsed="false">
      <c r="A11" s="29" t="s">
        <v>214</v>
      </c>
      <c r="B11" s="22" t="s">
        <v>215</v>
      </c>
      <c r="C11" s="26" t="s">
        <v>216</v>
      </c>
      <c r="D11" s="26" t="s">
        <v>21</v>
      </c>
      <c r="E11" s="26" t="s">
        <v>217</v>
      </c>
      <c r="F11" s="26" t="s">
        <v>143</v>
      </c>
    </row>
    <row r="12" customFormat="false" ht="22.35" hidden="false" customHeight="false" outlineLevel="0" collapsed="false">
      <c r="A12" s="29" t="s">
        <v>214</v>
      </c>
      <c r="B12" s="22" t="s">
        <v>218</v>
      </c>
      <c r="C12" s="26" t="s">
        <v>219</v>
      </c>
      <c r="D12" s="26" t="s">
        <v>22</v>
      </c>
      <c r="E12" s="26" t="s">
        <v>206</v>
      </c>
      <c r="F12" s="26" t="s">
        <v>164</v>
      </c>
    </row>
    <row r="13" customFormat="false" ht="22.35" hidden="false" customHeight="false" outlineLevel="0" collapsed="false">
      <c r="A13" s="29" t="s">
        <v>214</v>
      </c>
      <c r="B13" s="22" t="s">
        <v>220</v>
      </c>
      <c r="C13" s="26" t="s">
        <v>221</v>
      </c>
      <c r="D13" s="26" t="s">
        <v>22</v>
      </c>
      <c r="E13" s="26" t="s">
        <v>206</v>
      </c>
      <c r="F13" s="26" t="s">
        <v>171</v>
      </c>
    </row>
    <row r="14" customFormat="false" ht="22.35" hidden="false" customHeight="false" outlineLevel="0" collapsed="false">
      <c r="A14" s="29" t="s">
        <v>214</v>
      </c>
      <c r="B14" s="22" t="s">
        <v>222</v>
      </c>
      <c r="C14" s="26" t="s">
        <v>223</v>
      </c>
      <c r="D14" s="26" t="s">
        <v>23</v>
      </c>
      <c r="E14" s="26" t="s">
        <v>196</v>
      </c>
      <c r="F14" s="26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2026-10-14T22:31:23Z</dcterms:created>
  <dc:creator>openpyxl</dc:creator>
  <dc:description/>
  <dc:language>en-US</dc:language>
  <cp:lastModifiedBy/>
  <dcterms:modified xsi:type="dcterms:W3CDTF">2026-10-14T22:31:23Z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